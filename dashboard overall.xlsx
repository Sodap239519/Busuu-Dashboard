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I:\My Drive\Outside work\System\Busuu low data\"/>
    </mc:Choice>
  </mc:AlternateContent>
  <xr:revisionPtr revIDLastSave="0" documentId="8_{4AA9D1C4-BDFB-47B4-B351-B848F8A1904D}" xr6:coauthVersionLast="47" xr6:coauthVersionMax="47" xr10:uidLastSave="{00000000-0000-0000-0000-000000000000}"/>
  <bookViews>
    <workbookView xWindow="28680" yWindow="-120" windowWidth="29040" windowHeight="15720" xr2:uid="{3009C410-8CA1-4F10-A0ED-0B85F6A72BF6}"/>
  </bookViews>
  <sheets>
    <sheet name="สรุปข้อมูลภาพรวม" sheetId="1" r:id="rId1"/>
  </sheets>
  <definedNames>
    <definedName name="_xlnm._FilterDatabase" localSheetId="0" hidden="1">สรุปข้อมูลภาพรวม!$B$70:$K$70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C35" i="1"/>
  <c r="E35" i="1" s="1"/>
  <c r="C36" i="1"/>
  <c r="G36" i="1" s="1"/>
  <c r="E36" i="1"/>
  <c r="C37" i="1"/>
  <c r="E37" i="1"/>
  <c r="G37" i="1"/>
  <c r="C38" i="1"/>
  <c r="E38" i="1"/>
  <c r="G38" i="1"/>
  <c r="C39" i="1"/>
  <c r="E39" i="1"/>
  <c r="G39" i="1"/>
  <c r="C40" i="1"/>
  <c r="E40" i="1"/>
  <c r="G40" i="1"/>
  <c r="C41" i="1"/>
  <c r="E41" i="1"/>
  <c r="G41" i="1"/>
  <c r="C42" i="1"/>
  <c r="E42" i="1"/>
  <c r="G42" i="1"/>
  <c r="C43" i="1"/>
  <c r="E43" i="1" s="1"/>
  <c r="G43" i="1"/>
  <c r="C44" i="1"/>
  <c r="E44" i="1"/>
  <c r="G44" i="1"/>
  <c r="C45" i="1"/>
  <c r="E45" i="1" s="1"/>
  <c r="C46" i="1"/>
  <c r="E46" i="1"/>
  <c r="G46" i="1"/>
  <c r="C47" i="1"/>
  <c r="E47" i="1"/>
  <c r="G47" i="1"/>
  <c r="D48" i="1"/>
  <c r="F48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D101" i="1"/>
  <c r="E101" i="1"/>
  <c r="G35" i="1" l="1"/>
  <c r="C48" i="1"/>
  <c r="G48" i="1" s="1"/>
  <c r="G45" i="1"/>
  <c r="E48" i="1" l="1"/>
</calcChain>
</file>

<file path=xl/sharedStrings.xml><?xml version="1.0" encoding="utf-8"?>
<sst xmlns="http://schemas.openxmlformats.org/spreadsheetml/2006/main" count="123" uniqueCount="55">
  <si>
    <t xml:space="preserve">Dashboard Timeline From 06 Aug,2025 to 20 Nov, 2025 </t>
  </si>
  <si>
    <t>☐ แนวโน้มการใช้งาน (Timeline) รายสัปดาห์/รายเดือน</t>
  </si>
  <si>
    <t>☐ กราฟเปรียบเทียบ % การใช้งานแต่ละคณะ</t>
  </si>
  <si>
    <t xml:space="preserve">รวมทั้งหมด </t>
  </si>
  <si>
    <t>บุคคลทั่วไป</t>
  </si>
  <si>
    <t>บุคลากรสายสนับสนุน</t>
  </si>
  <si>
    <t>บุคลากรสายวิชาการ</t>
  </si>
  <si>
    <t>นักศึกษา รหัส 67 คณะสาธารณสุขศาสตร์</t>
  </si>
  <si>
    <t>นักศึกษา รหัส 67 คณะวิทยาศาสตร์และเทคโนโลยี</t>
  </si>
  <si>
    <t>นักศึกษา รหัส 67 คณะวิทยาการจัดการ</t>
  </si>
  <si>
    <t>นักศึกษา รหัส 67 คณะมนุษยศาสตร์และสังคมศาสตร์</t>
  </si>
  <si>
    <t>นักศึกษา รหัส 67 คณะพยาบาลศาสตร์</t>
  </si>
  <si>
    <t>นักศึกษา รหัส 67 คณะเทคโนโลยีอุตสาหกรรม</t>
  </si>
  <si>
    <t>นักศึกษา รหัส 67 คณะครุศาสตร์</t>
  </si>
  <si>
    <t>นักศึกษา รหัส 63, 66 คณะครุศาสตร์</t>
  </si>
  <si>
    <t>นักศึกษา ป.เอก คณะสาธารณสุขศาสตร์</t>
  </si>
  <si>
    <t>นักศึกษา ป.เอก คณะครุศาสตร์</t>
  </si>
  <si>
    <t>คิดเป็นร้อยละ</t>
  </si>
  <si>
    <t xml:space="preserve">จำนวน </t>
  </si>
  <si>
    <t>จำนวนผู้ใช้</t>
  </si>
  <si>
    <t>TEAM</t>
  </si>
  <si>
    <t>☐ รายชื่อผู้ที่เปิดบัญชีแล้วแต่ยังไม่เรียนเลย (Lessons = 0)</t>
  </si>
  <si>
    <t>Pending invites</t>
  </si>
  <si>
    <t>☐ รายงาน Top Teams ที่ Pending สูงสุด</t>
  </si>
  <si>
    <t>คิดเป็นร้อยละ Active (%)</t>
  </si>
  <si>
    <t>Team learners (Active)</t>
  </si>
  <si>
    <t>☐ รายงาน Top Teams ที่ Active สูงสุด</t>
  </si>
  <si>
    <t>3. ข้อมูลเพื่อการประชุม</t>
  </si>
  <si>
    <t>คิดเป็นร้อยละ Pending (%)</t>
  </si>
  <si>
    <r>
      <t xml:space="preserve">☐ รายชื่อทีม/คณะทั้งหมด </t>
    </r>
    <r>
      <rPr>
        <b/>
        <sz val="11"/>
        <color rgb="FF0000CC"/>
        <rFont val="Tahoma"/>
        <family val="2"/>
      </rPr>
      <t>13 Team (3886 Learners)</t>
    </r>
  </si>
  <si>
    <t>2. ข้อมูลเชิงทีม/คณะ (Teams Report) From 06 Aug to 29 Oct</t>
  </si>
  <si>
    <t>17 Total certificates</t>
  </si>
  <si>
    <t>☐ จำนวนใบประกาศ (Certificates แยกตามระดับ CEFR)</t>
  </si>
  <si>
    <t>24359 Total lessons</t>
  </si>
  <si>
    <t>☐ จำนวนบทเรียน (Lessons completed รวมทุกภาษา)</t>
  </si>
  <si>
    <t>Live: 0h 0min (ยังไม่กำหนดผู้ใช้งาน)</t>
  </si>
  <si>
    <t>Self-Paced: 1905h 50min</t>
  </si>
  <si>
    <t>☐ Learning Time รวม (ชั่วโมงที่เรียนสะสม)</t>
  </si>
  <si>
    <t>From 13 Nov to 19 Nov</t>
  </si>
  <si>
    <t>☐ Weekly Active Learners (% การใช้งานรายสัปดาห์)</t>
  </si>
  <si>
    <t>Dashboard total From 06 Aug to 20 Nov, 2025</t>
  </si>
  <si>
    <t xml:space="preserve">1. ข้อมูลภาพรวม (Overall Dashboard) </t>
  </si>
  <si>
    <t>ผลรวมทั้งหมด</t>
  </si>
  <si>
    <t>บุคลากร สายสนับสนุน</t>
  </si>
  <si>
    <t>บุคลากร สายวิชาการ</t>
  </si>
  <si>
    <t>นักศึกษา ระดับปริญญาเอก</t>
  </si>
  <si>
    <t>นักศึกษา รหัส 67 ภาคกศ.ปช.</t>
  </si>
  <si>
    <t>นักศึกษา รหัส 67</t>
  </si>
  <si>
    <t>นักศึกษา รหัส 66</t>
  </si>
  <si>
    <t>นักศึกษา รหัส 63</t>
  </si>
  <si>
    <t>Available to assign : 98 สิทธิ์</t>
  </si>
  <si>
    <t>Pending : 2,923 สิทธิ์</t>
  </si>
  <si>
    <t>In Use : 979 สิทธิ์ + Admin 1 สิทธิ์ รวม 980 สิทธิ์</t>
  </si>
  <si>
    <t>ข้อมูลเริ่ม 6 ส.ค.68 ถึง 20 พ.ย.68</t>
  </si>
  <si>
    <t>จำนวนสิทธิ์ 4,000 สิทธิ์ เริ่มใช้งาน 6 ส.ค.68 สิ้นสุดการใช้งาน 5 ส.ค.69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</si>
</sst>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.0%"/>
  </numFmts>
  <fonts count="4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b/>
      <sz val="11"/>
      <color rgb="FF0000CC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2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2" fontId="2" fillId="3" borderId="1" xfId="0" applyNumberFormat="1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187" fontId="1" fillId="0" borderId="1" xfId="0" applyNumberFormat="1" applyFont="1" applyBorder="1" applyAlignment="1">
      <alignment horizontal="left" wrapText="1"/>
    </xf>
    <xf numFmtId="0" fontId="2" fillId="3" borderId="5" xfId="0" applyFont="1" applyFill="1" applyBorder="1" applyAlignment="1">
      <alignment horizontal="left"/>
    </xf>
    <xf numFmtId="0" fontId="2" fillId="3" borderId="6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/>
              <a:t>% การใช้งานแต่ละคณะ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สรุปข้อมูลภาพรวม!$D$34</c:f>
              <c:strCache>
                <c:ptCount val="1"/>
                <c:pt idx="0">
                  <c:v>Team learners (Active)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สรุปข้อมูลภาพรวม!$B$35:$B$47</c:f>
              <c:strCache>
                <c:ptCount val="13"/>
                <c:pt idx="0">
                  <c:v>นักศึกษา ป.เอก คณะครุศาสตร์</c:v>
                </c:pt>
                <c:pt idx="1">
                  <c:v>นักศึกษา ป.เอก คณะสาธารณสุขศาสตร์</c:v>
                </c:pt>
                <c:pt idx="2">
                  <c:v>นักศึกษา รหัส 63, 66 คณะครุศาสตร์</c:v>
                </c:pt>
                <c:pt idx="3">
                  <c:v>นักศึกษา รหัส 67 คณะครุศาสตร์</c:v>
                </c:pt>
                <c:pt idx="4">
                  <c:v>นักศึกษา รหัส 67 คณะเทคโนโลยีอุตสาหกรรม</c:v>
                </c:pt>
                <c:pt idx="5">
                  <c:v>นักศึกษา รหัส 67 คณะพยาบาลศาสตร์</c:v>
                </c:pt>
                <c:pt idx="6">
                  <c:v>นักศึกษา รหัส 67 คณะมนุษยศาสตร์และสังคมศาสตร์</c:v>
                </c:pt>
                <c:pt idx="7">
                  <c:v>นักศึกษา รหัส 67 คณะวิทยาการจัดการ</c:v>
                </c:pt>
                <c:pt idx="8">
                  <c:v>นักศึกษา รหัส 67 คณะวิทยาศาสตร์และเทคโนโลยี</c:v>
                </c:pt>
                <c:pt idx="9">
                  <c:v>นักศึกษา รหัส 67 คณะสาธารณสุขศาสตร์</c:v>
                </c:pt>
                <c:pt idx="10">
                  <c:v>บุคลากรสายวิชาการ</c:v>
                </c:pt>
                <c:pt idx="11">
                  <c:v>บุคลากรสายสนับสนุน</c:v>
                </c:pt>
                <c:pt idx="12">
                  <c:v>บุคคลทั่วไป</c:v>
                </c:pt>
              </c:strCache>
            </c:strRef>
          </c:cat>
          <c:val>
            <c:numRef>
              <c:f>สรุปข้อมูลภาพรวม!$D$35:$D$47</c:f>
              <c:numCache>
                <c:formatCode>General</c:formatCode>
                <c:ptCount val="13"/>
                <c:pt idx="0">
                  <c:v>13</c:v>
                </c:pt>
                <c:pt idx="1">
                  <c:v>4</c:v>
                </c:pt>
                <c:pt idx="2">
                  <c:v>2</c:v>
                </c:pt>
                <c:pt idx="3">
                  <c:v>185</c:v>
                </c:pt>
                <c:pt idx="4">
                  <c:v>39</c:v>
                </c:pt>
                <c:pt idx="5">
                  <c:v>63</c:v>
                </c:pt>
                <c:pt idx="6">
                  <c:v>176</c:v>
                </c:pt>
                <c:pt idx="7">
                  <c:v>242</c:v>
                </c:pt>
                <c:pt idx="8">
                  <c:v>74</c:v>
                </c:pt>
                <c:pt idx="9">
                  <c:v>76</c:v>
                </c:pt>
                <c:pt idx="10">
                  <c:v>70</c:v>
                </c:pt>
                <c:pt idx="11">
                  <c:v>21</c:v>
                </c:pt>
                <c:pt idx="1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68-4A3D-ABB2-EAD1D7BAA788}"/>
            </c:ext>
          </c:extLst>
        </c:ser>
        <c:ser>
          <c:idx val="1"/>
          <c:order val="1"/>
          <c:tx>
            <c:strRef>
              <c:f>สรุปข้อมูลภาพรวม!$E$34</c:f>
              <c:strCache>
                <c:ptCount val="1"/>
                <c:pt idx="0">
                  <c:v>คิดเป็นร้อยละ Active 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สรุปข้อมูลภาพรวม!$B$35:$B$47</c:f>
              <c:strCache>
                <c:ptCount val="13"/>
                <c:pt idx="0">
                  <c:v>นักศึกษา ป.เอก คณะครุศาสตร์</c:v>
                </c:pt>
                <c:pt idx="1">
                  <c:v>นักศึกษา ป.เอก คณะสาธารณสุขศาสตร์</c:v>
                </c:pt>
                <c:pt idx="2">
                  <c:v>นักศึกษา รหัส 63, 66 คณะครุศาสตร์</c:v>
                </c:pt>
                <c:pt idx="3">
                  <c:v>นักศึกษา รหัส 67 คณะครุศาสตร์</c:v>
                </c:pt>
                <c:pt idx="4">
                  <c:v>นักศึกษา รหัส 67 คณะเทคโนโลยีอุตสาหกรรม</c:v>
                </c:pt>
                <c:pt idx="5">
                  <c:v>นักศึกษา รหัส 67 คณะพยาบาลศาสตร์</c:v>
                </c:pt>
                <c:pt idx="6">
                  <c:v>นักศึกษา รหัส 67 คณะมนุษยศาสตร์และสังคมศาสตร์</c:v>
                </c:pt>
                <c:pt idx="7">
                  <c:v>นักศึกษา รหัส 67 คณะวิทยาการจัดการ</c:v>
                </c:pt>
                <c:pt idx="8">
                  <c:v>นักศึกษา รหัส 67 คณะวิทยาศาสตร์และเทคโนโลยี</c:v>
                </c:pt>
                <c:pt idx="9">
                  <c:v>นักศึกษา รหัส 67 คณะสาธารณสุขศาสตร์</c:v>
                </c:pt>
                <c:pt idx="10">
                  <c:v>บุคลากรสายวิชาการ</c:v>
                </c:pt>
                <c:pt idx="11">
                  <c:v>บุคลากรสายสนับสนุน</c:v>
                </c:pt>
                <c:pt idx="12">
                  <c:v>บุคคลทั่วไป</c:v>
                </c:pt>
              </c:strCache>
            </c:strRef>
          </c:cat>
          <c:val>
            <c:numRef>
              <c:f>สรุปข้อมูลภาพรวม!$E$35:$E$47</c:f>
              <c:numCache>
                <c:formatCode>0.00</c:formatCode>
                <c:ptCount val="13"/>
                <c:pt idx="0">
                  <c:v>92.857142857142861</c:v>
                </c:pt>
                <c:pt idx="1">
                  <c:v>100</c:v>
                </c:pt>
                <c:pt idx="2">
                  <c:v>100</c:v>
                </c:pt>
                <c:pt idx="3">
                  <c:v>18.630412890231622</c:v>
                </c:pt>
                <c:pt idx="4">
                  <c:v>31.451612903225808</c:v>
                </c:pt>
                <c:pt idx="5">
                  <c:v>91.304347826086953</c:v>
                </c:pt>
                <c:pt idx="6">
                  <c:v>19.027027027027028</c:v>
                </c:pt>
                <c:pt idx="7">
                  <c:v>33.060109289617486</c:v>
                </c:pt>
                <c:pt idx="8">
                  <c:v>13.703703703703704</c:v>
                </c:pt>
                <c:pt idx="9">
                  <c:v>40.86021505376344</c:v>
                </c:pt>
                <c:pt idx="10">
                  <c:v>27.888446215139439</c:v>
                </c:pt>
                <c:pt idx="11">
                  <c:v>44.680851063829785</c:v>
                </c:pt>
                <c:pt idx="12">
                  <c:v>93.333333333333329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68-4A3D-ABB2-EAD1D7BAA788}"/>
            </c:ext>
          </c:extLst>
        </c:ser>
        <c:ser>
          <c:idx val="2"/>
          <c:order val="2"/>
          <c:tx>
            <c:strRef>
              <c:f>สรุปข้อมูลภาพรวม!$F$34</c:f>
              <c:strCache>
                <c:ptCount val="1"/>
                <c:pt idx="0">
                  <c:v>Pending invites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สรุปข้อมูลภาพรวม!$B$35:$B$47</c:f>
              <c:strCache>
                <c:ptCount val="13"/>
                <c:pt idx="0">
                  <c:v>นักศึกษา ป.เอก คณะครุศาสตร์</c:v>
                </c:pt>
                <c:pt idx="1">
                  <c:v>นักศึกษา ป.เอก คณะสาธารณสุขศาสตร์</c:v>
                </c:pt>
                <c:pt idx="2">
                  <c:v>นักศึกษา รหัส 63, 66 คณะครุศาสตร์</c:v>
                </c:pt>
                <c:pt idx="3">
                  <c:v>นักศึกษา รหัส 67 คณะครุศาสตร์</c:v>
                </c:pt>
                <c:pt idx="4">
                  <c:v>นักศึกษา รหัส 67 คณะเทคโนโลยีอุตสาหกรรม</c:v>
                </c:pt>
                <c:pt idx="5">
                  <c:v>นักศึกษา รหัส 67 คณะพยาบาลศาสตร์</c:v>
                </c:pt>
                <c:pt idx="6">
                  <c:v>นักศึกษา รหัส 67 คณะมนุษยศาสตร์และสังคมศาสตร์</c:v>
                </c:pt>
                <c:pt idx="7">
                  <c:v>นักศึกษา รหัส 67 คณะวิทยาการจัดการ</c:v>
                </c:pt>
                <c:pt idx="8">
                  <c:v>นักศึกษา รหัส 67 คณะวิทยาศาสตร์และเทคโนโลยี</c:v>
                </c:pt>
                <c:pt idx="9">
                  <c:v>นักศึกษา รหัส 67 คณะสาธารณสุขศาสตร์</c:v>
                </c:pt>
                <c:pt idx="10">
                  <c:v>บุคลากรสายวิชาการ</c:v>
                </c:pt>
                <c:pt idx="11">
                  <c:v>บุคลากรสายสนับสนุน</c:v>
                </c:pt>
                <c:pt idx="12">
                  <c:v>บุคคลทั่วไป</c:v>
                </c:pt>
              </c:strCache>
            </c:strRef>
          </c:cat>
          <c:val>
            <c:numRef>
              <c:f>สรุปข้อมูลภาพรวม!$F$35:$F$47</c:f>
              <c:numCache>
                <c:formatCode>General</c:formatCode>
                <c:ptCount val="13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808</c:v>
                </c:pt>
                <c:pt idx="4">
                  <c:v>85</c:v>
                </c:pt>
                <c:pt idx="5">
                  <c:v>6</c:v>
                </c:pt>
                <c:pt idx="6">
                  <c:v>749</c:v>
                </c:pt>
                <c:pt idx="7">
                  <c:v>490</c:v>
                </c:pt>
                <c:pt idx="8">
                  <c:v>466</c:v>
                </c:pt>
                <c:pt idx="9">
                  <c:v>110</c:v>
                </c:pt>
                <c:pt idx="10">
                  <c:v>181</c:v>
                </c:pt>
                <c:pt idx="11">
                  <c:v>26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68-4A3D-ABB2-EAD1D7BAA788}"/>
            </c:ext>
          </c:extLst>
        </c:ser>
        <c:ser>
          <c:idx val="3"/>
          <c:order val="3"/>
          <c:tx>
            <c:strRef>
              <c:f>สรุปข้อมูลภาพรวม!$G$34</c:f>
              <c:strCache>
                <c:ptCount val="1"/>
                <c:pt idx="0">
                  <c:v>คิดเป็นร้อยละ Pending (%)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สรุปข้อมูลภาพรวม!$B$35:$B$47</c:f>
              <c:strCache>
                <c:ptCount val="13"/>
                <c:pt idx="0">
                  <c:v>นักศึกษา ป.เอก คณะครุศาสตร์</c:v>
                </c:pt>
                <c:pt idx="1">
                  <c:v>นักศึกษา ป.เอก คณะสาธารณสุขศาสตร์</c:v>
                </c:pt>
                <c:pt idx="2">
                  <c:v>นักศึกษา รหัส 63, 66 คณะครุศาสตร์</c:v>
                </c:pt>
                <c:pt idx="3">
                  <c:v>นักศึกษา รหัส 67 คณะครุศาสตร์</c:v>
                </c:pt>
                <c:pt idx="4">
                  <c:v>นักศึกษา รหัส 67 คณะเทคโนโลยีอุตสาหกรรม</c:v>
                </c:pt>
                <c:pt idx="5">
                  <c:v>นักศึกษา รหัส 67 คณะพยาบาลศาสตร์</c:v>
                </c:pt>
                <c:pt idx="6">
                  <c:v>นักศึกษา รหัส 67 คณะมนุษยศาสตร์และสังคมศาสตร์</c:v>
                </c:pt>
                <c:pt idx="7">
                  <c:v>นักศึกษา รหัส 67 คณะวิทยาการจัดการ</c:v>
                </c:pt>
                <c:pt idx="8">
                  <c:v>นักศึกษา รหัส 67 คณะวิทยาศาสตร์และเทคโนโลยี</c:v>
                </c:pt>
                <c:pt idx="9">
                  <c:v>นักศึกษา รหัส 67 คณะสาธารณสุขศาสตร์</c:v>
                </c:pt>
                <c:pt idx="10">
                  <c:v>บุคลากรสายวิชาการ</c:v>
                </c:pt>
                <c:pt idx="11">
                  <c:v>บุคลากรสายสนับสนุน</c:v>
                </c:pt>
                <c:pt idx="12">
                  <c:v>บุคคลทั่วไป</c:v>
                </c:pt>
              </c:strCache>
            </c:strRef>
          </c:cat>
          <c:val>
            <c:numRef>
              <c:f>สรุปข้อมูลภาพรวม!$G$35:$G$47</c:f>
              <c:numCache>
                <c:formatCode>0.00</c:formatCode>
                <c:ptCount val="13"/>
                <c:pt idx="0">
                  <c:v>7.1428571428571423</c:v>
                </c:pt>
                <c:pt idx="1">
                  <c:v>0</c:v>
                </c:pt>
                <c:pt idx="2">
                  <c:v>0</c:v>
                </c:pt>
                <c:pt idx="3">
                  <c:v>81.369587109768389</c:v>
                </c:pt>
                <c:pt idx="4">
                  <c:v>68.548387096774192</c:v>
                </c:pt>
                <c:pt idx="5">
                  <c:v>8.695652173913043</c:v>
                </c:pt>
                <c:pt idx="6">
                  <c:v>80.972972972972968</c:v>
                </c:pt>
                <c:pt idx="7">
                  <c:v>66.939890710382514</c:v>
                </c:pt>
                <c:pt idx="8">
                  <c:v>86.296296296296291</c:v>
                </c:pt>
                <c:pt idx="9">
                  <c:v>59.13978494623656</c:v>
                </c:pt>
                <c:pt idx="10">
                  <c:v>72.111553784860561</c:v>
                </c:pt>
                <c:pt idx="11">
                  <c:v>55.319148936170215</c:v>
                </c:pt>
                <c:pt idx="12">
                  <c:v>6.666666666666667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E68-4A3D-ABB2-EAD1D7BAA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1207248"/>
        <c:axId val="731197264"/>
      </c:barChart>
      <c:catAx>
        <c:axId val="731207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731197264"/>
        <c:crosses val="autoZero"/>
        <c:auto val="1"/>
        <c:lblAlgn val="ctr"/>
        <c:lblOffset val="100"/>
        <c:noMultiLvlLbl val="0"/>
      </c:catAx>
      <c:valAx>
        <c:axId val="73119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/>
                  <a:t>จำนวน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731207248"/>
        <c:crosses val="autoZero"/>
        <c:crossBetween val="between"/>
        <c:majorUnit val="100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103</xdr:row>
      <xdr:rowOff>129540</xdr:rowOff>
    </xdr:from>
    <xdr:to>
      <xdr:col>7</xdr:col>
      <xdr:colOff>0</xdr:colOff>
      <xdr:row>124</xdr:row>
      <xdr:rowOff>7620</xdr:rowOff>
    </xdr:to>
    <xdr:graphicFrame macro="">
      <xdr:nvGraphicFramePr>
        <xdr:cNvPr id="2" name="แผนภูมิ 1">
          <a:extLst>
            <a:ext uri="{FF2B5EF4-FFF2-40B4-BE49-F238E27FC236}">
              <a16:creationId xmlns:a16="http://schemas.microsoft.com/office/drawing/2014/main" id="{C022AE68-8529-4B7D-86E8-5FBF0EF0A0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</xdr:col>
      <xdr:colOff>178838</xdr:colOff>
      <xdr:row>127</xdr:row>
      <xdr:rowOff>85530</xdr:rowOff>
    </xdr:from>
    <xdr:ext cx="4136200" cy="4377612"/>
    <xdr:pic>
      <xdr:nvPicPr>
        <xdr:cNvPr id="3" name="รูปภาพ 2">
          <a:extLst>
            <a:ext uri="{FF2B5EF4-FFF2-40B4-BE49-F238E27FC236}">
              <a16:creationId xmlns:a16="http://schemas.microsoft.com/office/drawing/2014/main" id="{68F0EB5D-C736-48F7-8D0B-D8C22986B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5113" y="23069355"/>
          <a:ext cx="4136200" cy="43776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4463143</xdr:colOff>
      <xdr:row>127</xdr:row>
      <xdr:rowOff>38879</xdr:rowOff>
    </xdr:from>
    <xdr:ext cx="4904286" cy="4424262"/>
    <xdr:pic>
      <xdr:nvPicPr>
        <xdr:cNvPr id="4" name="รูปภาพ 3">
          <a:extLst>
            <a:ext uri="{FF2B5EF4-FFF2-40B4-BE49-F238E27FC236}">
              <a16:creationId xmlns:a16="http://schemas.microsoft.com/office/drawing/2014/main" id="{DA2C1394-1F5B-456C-B9A7-ADBFD3C2F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8468" y="23022704"/>
          <a:ext cx="4904286" cy="44242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1912777</xdr:colOff>
      <xdr:row>127</xdr:row>
      <xdr:rowOff>69979</xdr:rowOff>
    </xdr:from>
    <xdr:ext cx="4768800" cy="4399997"/>
    <xdr:pic>
      <xdr:nvPicPr>
        <xdr:cNvPr id="5" name="รูปภาพ 4">
          <a:extLst>
            <a:ext uri="{FF2B5EF4-FFF2-40B4-BE49-F238E27FC236}">
              <a16:creationId xmlns:a16="http://schemas.microsoft.com/office/drawing/2014/main" id="{39F35A2C-F6E1-4FA7-BD27-1B6CACD49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03352" y="23053804"/>
          <a:ext cx="4768800" cy="43999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A3129-C074-422C-9210-4B0AC46AB4B4}">
  <sheetPr>
    <tabColor theme="4"/>
  </sheetPr>
  <dimension ref="B2:K127"/>
  <sheetViews>
    <sheetView tabSelected="1" topLeftCell="A7" zoomScale="98" zoomScaleNormal="98" workbookViewId="0">
      <selection activeCell="F23" sqref="F23"/>
    </sheetView>
  </sheetViews>
  <sheetFormatPr defaultColWidth="8.875" defaultRowHeight="14.25" x14ac:dyDescent="0.2"/>
  <cols>
    <col min="1" max="1" width="8.875" style="1"/>
    <col min="2" max="2" width="67" style="1" bestFit="1" customWidth="1"/>
    <col min="3" max="3" width="33.25" style="1" bestFit="1" customWidth="1"/>
    <col min="4" max="4" width="29.25" style="1" bestFit="1" customWidth="1"/>
    <col min="5" max="5" width="20.125" style="1" customWidth="1"/>
    <col min="6" max="6" width="24.75" style="1" customWidth="1"/>
    <col min="7" max="7" width="22.125" style="1" customWidth="1"/>
    <col min="8" max="8" width="17.125" style="1" customWidth="1"/>
    <col min="9" max="9" width="21.375" style="1" bestFit="1" customWidth="1"/>
    <col min="10" max="10" width="11.625" style="1" customWidth="1"/>
    <col min="11" max="11" width="15" style="1" customWidth="1"/>
    <col min="12" max="12" width="18.125" style="1" customWidth="1"/>
    <col min="13" max="16384" width="8.875" style="1"/>
  </cols>
  <sheetData>
    <row r="2" spans="2:11" x14ac:dyDescent="0.2">
      <c r="B2" s="2" t="s">
        <v>54</v>
      </c>
    </row>
    <row r="3" spans="2:11" x14ac:dyDescent="0.2">
      <c r="B3" s="30" t="s">
        <v>53</v>
      </c>
    </row>
    <row r="4" spans="2:11" x14ac:dyDescent="0.2">
      <c r="B4" s="2" t="s">
        <v>52</v>
      </c>
    </row>
    <row r="5" spans="2:11" x14ac:dyDescent="0.2">
      <c r="B5" s="2" t="s">
        <v>51</v>
      </c>
    </row>
    <row r="6" spans="2:11" x14ac:dyDescent="0.2">
      <c r="B6" s="2" t="s">
        <v>50</v>
      </c>
    </row>
    <row r="8" spans="2:11" s="2" customFormat="1" x14ac:dyDescent="0.2">
      <c r="B8" s="8" t="s">
        <v>20</v>
      </c>
      <c r="C8" s="8" t="s">
        <v>49</v>
      </c>
      <c r="D8" s="8" t="s">
        <v>48</v>
      </c>
      <c r="E8" s="8" t="s">
        <v>47</v>
      </c>
      <c r="F8" s="8" t="s">
        <v>46</v>
      </c>
      <c r="G8" s="8" t="s">
        <v>45</v>
      </c>
      <c r="H8" s="8" t="s">
        <v>44</v>
      </c>
      <c r="I8" s="8" t="s">
        <v>43</v>
      </c>
      <c r="J8" s="8" t="s">
        <v>4</v>
      </c>
      <c r="K8" s="8" t="s">
        <v>42</v>
      </c>
    </row>
    <row r="9" spans="2:11" x14ac:dyDescent="0.2">
      <c r="B9" s="13" t="s">
        <v>16</v>
      </c>
      <c r="C9" s="12"/>
      <c r="D9" s="12"/>
      <c r="E9" s="12"/>
      <c r="F9" s="12"/>
      <c r="G9" s="12">
        <v>14</v>
      </c>
      <c r="H9" s="12"/>
      <c r="I9" s="12"/>
      <c r="J9" s="12"/>
      <c r="K9" s="12">
        <v>14</v>
      </c>
    </row>
    <row r="10" spans="2:11" x14ac:dyDescent="0.2">
      <c r="B10" s="13" t="s">
        <v>15</v>
      </c>
      <c r="C10" s="12"/>
      <c r="D10" s="12"/>
      <c r="E10" s="12"/>
      <c r="F10" s="12"/>
      <c r="G10" s="12">
        <v>4</v>
      </c>
      <c r="H10" s="12"/>
      <c r="I10" s="12"/>
      <c r="J10" s="12"/>
      <c r="K10" s="12">
        <v>4</v>
      </c>
    </row>
    <row r="11" spans="2:11" x14ac:dyDescent="0.2">
      <c r="B11" s="13" t="s">
        <v>14</v>
      </c>
      <c r="C11" s="12">
        <v>1</v>
      </c>
      <c r="D11" s="12">
        <v>1</v>
      </c>
      <c r="E11" s="12"/>
      <c r="F11" s="12"/>
      <c r="G11" s="12"/>
      <c r="H11" s="12"/>
      <c r="I11" s="12"/>
      <c r="J11" s="12"/>
      <c r="K11" s="12">
        <v>2</v>
      </c>
    </row>
    <row r="12" spans="2:11" x14ac:dyDescent="0.2">
      <c r="B12" s="13" t="s">
        <v>13</v>
      </c>
      <c r="C12" s="12"/>
      <c r="D12" s="12"/>
      <c r="E12" s="12">
        <v>993</v>
      </c>
      <c r="F12" s="12"/>
      <c r="G12" s="12"/>
      <c r="H12" s="12"/>
      <c r="I12" s="12"/>
      <c r="J12" s="12"/>
      <c r="K12" s="12">
        <v>993</v>
      </c>
    </row>
    <row r="13" spans="2:11" x14ac:dyDescent="0.2">
      <c r="B13" s="13" t="s">
        <v>12</v>
      </c>
      <c r="C13" s="12"/>
      <c r="D13" s="12"/>
      <c r="E13" s="12">
        <v>107</v>
      </c>
      <c r="F13" s="12">
        <v>17</v>
      </c>
      <c r="G13" s="12"/>
      <c r="H13" s="12"/>
      <c r="I13" s="12"/>
      <c r="J13" s="12"/>
      <c r="K13" s="12">
        <v>124</v>
      </c>
    </row>
    <row r="14" spans="2:11" x14ac:dyDescent="0.2">
      <c r="B14" s="13" t="s">
        <v>11</v>
      </c>
      <c r="C14" s="12"/>
      <c r="D14" s="12"/>
      <c r="E14" s="12">
        <v>69</v>
      </c>
      <c r="F14" s="12"/>
      <c r="G14" s="12"/>
      <c r="H14" s="12"/>
      <c r="I14" s="12"/>
      <c r="J14" s="12"/>
      <c r="K14" s="12">
        <v>69</v>
      </c>
    </row>
    <row r="15" spans="2:11" x14ac:dyDescent="0.2">
      <c r="B15" s="13" t="s">
        <v>10</v>
      </c>
      <c r="C15" s="12"/>
      <c r="D15" s="12"/>
      <c r="E15" s="12">
        <v>874</v>
      </c>
      <c r="F15" s="12">
        <v>51</v>
      </c>
      <c r="G15" s="12"/>
      <c r="H15" s="12"/>
      <c r="I15" s="12"/>
      <c r="J15" s="12"/>
      <c r="K15" s="12">
        <v>925</v>
      </c>
    </row>
    <row r="16" spans="2:11" x14ac:dyDescent="0.2">
      <c r="B16" s="13" t="s">
        <v>9</v>
      </c>
      <c r="C16" s="12"/>
      <c r="D16" s="12"/>
      <c r="E16" s="12">
        <v>639</v>
      </c>
      <c r="F16" s="12">
        <v>93</v>
      </c>
      <c r="G16" s="12"/>
      <c r="H16" s="12"/>
      <c r="I16" s="12"/>
      <c r="J16" s="12"/>
      <c r="K16" s="12">
        <v>732</v>
      </c>
    </row>
    <row r="17" spans="2:11" x14ac:dyDescent="0.2">
      <c r="B17" s="13" t="s">
        <v>8</v>
      </c>
      <c r="C17" s="12"/>
      <c r="D17" s="12"/>
      <c r="E17" s="12">
        <v>540</v>
      </c>
      <c r="F17" s="12"/>
      <c r="G17" s="12"/>
      <c r="H17" s="12"/>
      <c r="I17" s="12"/>
      <c r="J17" s="12"/>
      <c r="K17" s="12">
        <v>540</v>
      </c>
    </row>
    <row r="18" spans="2:11" x14ac:dyDescent="0.2">
      <c r="B18" s="13" t="s">
        <v>7</v>
      </c>
      <c r="C18" s="12"/>
      <c r="D18" s="12"/>
      <c r="E18" s="12">
        <v>183</v>
      </c>
      <c r="F18" s="12">
        <v>3</v>
      </c>
      <c r="G18" s="12"/>
      <c r="H18" s="12"/>
      <c r="I18" s="12"/>
      <c r="J18" s="12"/>
      <c r="K18" s="12">
        <v>186</v>
      </c>
    </row>
    <row r="19" spans="2:11" x14ac:dyDescent="0.2">
      <c r="B19" s="13" t="s">
        <v>44</v>
      </c>
      <c r="C19" s="12"/>
      <c r="D19" s="12"/>
      <c r="E19" s="12"/>
      <c r="F19" s="12"/>
      <c r="G19" s="12"/>
      <c r="H19" s="12">
        <f>82+169</f>
        <v>251</v>
      </c>
      <c r="I19" s="12"/>
      <c r="J19" s="12"/>
      <c r="K19" s="12">
        <v>251</v>
      </c>
    </row>
    <row r="20" spans="2:11" x14ac:dyDescent="0.2">
      <c r="B20" s="22" t="s">
        <v>43</v>
      </c>
      <c r="C20" s="12"/>
      <c r="D20" s="12"/>
      <c r="E20" s="12"/>
      <c r="F20" s="12"/>
      <c r="G20" s="12"/>
      <c r="H20" s="12"/>
      <c r="I20" s="12">
        <v>47</v>
      </c>
      <c r="J20" s="12"/>
      <c r="K20" s="12">
        <v>47</v>
      </c>
    </row>
    <row r="21" spans="2:11" x14ac:dyDescent="0.2">
      <c r="B21" s="13" t="s">
        <v>4</v>
      </c>
      <c r="C21" s="12"/>
      <c r="D21" s="12"/>
      <c r="E21" s="12"/>
      <c r="F21" s="12"/>
      <c r="G21" s="12"/>
      <c r="H21" s="12"/>
      <c r="I21" s="12"/>
      <c r="J21" s="12">
        <v>15</v>
      </c>
      <c r="K21" s="12">
        <v>15</v>
      </c>
    </row>
    <row r="22" spans="2:11" s="2" customFormat="1" x14ac:dyDescent="0.2">
      <c r="B22" s="9" t="s">
        <v>42</v>
      </c>
      <c r="C22" s="8">
        <v>1</v>
      </c>
      <c r="D22" s="8">
        <v>1</v>
      </c>
      <c r="E22" s="8">
        <v>3405</v>
      </c>
      <c r="F22" s="8">
        <v>164</v>
      </c>
      <c r="G22" s="8">
        <v>18</v>
      </c>
      <c r="H22" s="8">
        <v>251</v>
      </c>
      <c r="I22" s="8">
        <v>47</v>
      </c>
      <c r="J22" s="8">
        <v>15</v>
      </c>
      <c r="K22" s="8">
        <v>3902</v>
      </c>
    </row>
    <row r="24" spans="2:11" x14ac:dyDescent="0.2">
      <c r="B24" s="29" t="s">
        <v>41</v>
      </c>
      <c r="C24" s="29"/>
      <c r="D24" s="29"/>
    </row>
    <row r="25" spans="2:11" x14ac:dyDescent="0.2">
      <c r="B25" s="28" t="s">
        <v>40</v>
      </c>
      <c r="C25" s="27"/>
      <c r="D25" s="26"/>
    </row>
    <row r="26" spans="2:11" x14ac:dyDescent="0.2">
      <c r="B26" s="13" t="s">
        <v>39</v>
      </c>
      <c r="C26" s="25">
        <v>5.6000000000000001E-2</v>
      </c>
      <c r="D26" s="22" t="s">
        <v>38</v>
      </c>
    </row>
    <row r="27" spans="2:11" x14ac:dyDescent="0.2">
      <c r="B27" s="24" t="s">
        <v>37</v>
      </c>
      <c r="C27" s="22" t="s">
        <v>36</v>
      </c>
      <c r="D27" s="13"/>
    </row>
    <row r="28" spans="2:11" x14ac:dyDescent="0.2">
      <c r="B28" s="23"/>
      <c r="C28" s="22" t="s">
        <v>35</v>
      </c>
      <c r="D28" s="13"/>
    </row>
    <row r="29" spans="2:11" x14ac:dyDescent="0.2">
      <c r="B29" s="13" t="s">
        <v>34</v>
      </c>
      <c r="C29" s="13" t="s">
        <v>33</v>
      </c>
      <c r="D29" s="13"/>
    </row>
    <row r="30" spans="2:11" x14ac:dyDescent="0.2">
      <c r="B30" s="13" t="s">
        <v>32</v>
      </c>
      <c r="C30" s="13" t="s">
        <v>31</v>
      </c>
      <c r="D30" s="13"/>
    </row>
    <row r="32" spans="2:11" x14ac:dyDescent="0.2">
      <c r="B32" s="2" t="s">
        <v>30</v>
      </c>
    </row>
    <row r="33" spans="2:7" x14ac:dyDescent="0.2">
      <c r="B33" s="2" t="s">
        <v>29</v>
      </c>
      <c r="C33" s="21"/>
      <c r="D33" s="21"/>
      <c r="E33" s="21"/>
    </row>
    <row r="34" spans="2:7" x14ac:dyDescent="0.2">
      <c r="B34" s="19" t="s">
        <v>20</v>
      </c>
      <c r="C34" s="19" t="s">
        <v>19</v>
      </c>
      <c r="D34" s="19" t="s">
        <v>25</v>
      </c>
      <c r="E34" s="18" t="s">
        <v>24</v>
      </c>
      <c r="F34" s="19" t="s">
        <v>22</v>
      </c>
      <c r="G34" s="18" t="s">
        <v>28</v>
      </c>
    </row>
    <row r="35" spans="2:7" x14ac:dyDescent="0.2">
      <c r="B35" s="13" t="s">
        <v>16</v>
      </c>
      <c r="C35" s="12">
        <f>D35+F35</f>
        <v>14</v>
      </c>
      <c r="D35" s="12">
        <v>13</v>
      </c>
      <c r="E35" s="10">
        <f>D35/C35*100</f>
        <v>92.857142857142861</v>
      </c>
      <c r="F35" s="12">
        <v>1</v>
      </c>
      <c r="G35" s="10">
        <f>F35/C35*100</f>
        <v>7.1428571428571423</v>
      </c>
    </row>
    <row r="36" spans="2:7" x14ac:dyDescent="0.2">
      <c r="B36" s="13" t="s">
        <v>15</v>
      </c>
      <c r="C36" s="12">
        <f>D36+F36</f>
        <v>4</v>
      </c>
      <c r="D36" s="12">
        <v>4</v>
      </c>
      <c r="E36" s="10">
        <f>D36/C36*100</f>
        <v>100</v>
      </c>
      <c r="F36" s="12">
        <v>0</v>
      </c>
      <c r="G36" s="10">
        <f>F36/C36*100</f>
        <v>0</v>
      </c>
    </row>
    <row r="37" spans="2:7" x14ac:dyDescent="0.2">
      <c r="B37" s="13" t="s">
        <v>14</v>
      </c>
      <c r="C37" s="12">
        <f>D37+F37</f>
        <v>2</v>
      </c>
      <c r="D37" s="12">
        <v>2</v>
      </c>
      <c r="E37" s="10">
        <f>D37/C37*100</f>
        <v>100</v>
      </c>
      <c r="F37" s="12">
        <v>0</v>
      </c>
      <c r="G37" s="10">
        <f>F37/C37*100</f>
        <v>0</v>
      </c>
    </row>
    <row r="38" spans="2:7" x14ac:dyDescent="0.2">
      <c r="B38" s="13" t="s">
        <v>13</v>
      </c>
      <c r="C38" s="12">
        <f>D38+F38</f>
        <v>993</v>
      </c>
      <c r="D38" s="12">
        <v>185</v>
      </c>
      <c r="E38" s="10">
        <f>D38/C38*100</f>
        <v>18.630412890231622</v>
      </c>
      <c r="F38" s="12">
        <v>808</v>
      </c>
      <c r="G38" s="10">
        <f>F38/C38*100</f>
        <v>81.369587109768389</v>
      </c>
    </row>
    <row r="39" spans="2:7" x14ac:dyDescent="0.2">
      <c r="B39" s="13" t="s">
        <v>12</v>
      </c>
      <c r="C39" s="12">
        <f>D39+F39</f>
        <v>124</v>
      </c>
      <c r="D39" s="12">
        <v>39</v>
      </c>
      <c r="E39" s="10">
        <f>D39/C39*100</f>
        <v>31.451612903225808</v>
      </c>
      <c r="F39" s="12">
        <v>85</v>
      </c>
      <c r="G39" s="10">
        <f>F39/C39*100</f>
        <v>68.548387096774192</v>
      </c>
    </row>
    <row r="40" spans="2:7" x14ac:dyDescent="0.2">
      <c r="B40" s="13" t="s">
        <v>11</v>
      </c>
      <c r="C40" s="12">
        <f>D40+F40</f>
        <v>69</v>
      </c>
      <c r="D40" s="12">
        <v>63</v>
      </c>
      <c r="E40" s="10">
        <f>D40/C40*100</f>
        <v>91.304347826086953</v>
      </c>
      <c r="F40" s="12">
        <v>6</v>
      </c>
      <c r="G40" s="10">
        <f>F40/C40*100</f>
        <v>8.695652173913043</v>
      </c>
    </row>
    <row r="41" spans="2:7" x14ac:dyDescent="0.2">
      <c r="B41" s="13" t="s">
        <v>10</v>
      </c>
      <c r="C41" s="12">
        <f>D41+F41</f>
        <v>925</v>
      </c>
      <c r="D41" s="12">
        <v>176</v>
      </c>
      <c r="E41" s="10">
        <f>D41/C41*100</f>
        <v>19.027027027027028</v>
      </c>
      <c r="F41" s="12">
        <v>749</v>
      </c>
      <c r="G41" s="10">
        <f>F41/C41*100</f>
        <v>80.972972972972968</v>
      </c>
    </row>
    <row r="42" spans="2:7" x14ac:dyDescent="0.2">
      <c r="B42" s="13" t="s">
        <v>9</v>
      </c>
      <c r="C42" s="12">
        <f>D42+F42</f>
        <v>732</v>
      </c>
      <c r="D42" s="12">
        <v>242</v>
      </c>
      <c r="E42" s="10">
        <f>D42/C42*100</f>
        <v>33.060109289617486</v>
      </c>
      <c r="F42" s="12">
        <v>490</v>
      </c>
      <c r="G42" s="10">
        <f>F42/C42*100</f>
        <v>66.939890710382514</v>
      </c>
    </row>
    <row r="43" spans="2:7" x14ac:dyDescent="0.2">
      <c r="B43" s="13" t="s">
        <v>8</v>
      </c>
      <c r="C43" s="12">
        <f>D43+F43</f>
        <v>540</v>
      </c>
      <c r="D43" s="12">
        <v>74</v>
      </c>
      <c r="E43" s="10">
        <f>D43/C43*100</f>
        <v>13.703703703703704</v>
      </c>
      <c r="F43" s="12">
        <v>466</v>
      </c>
      <c r="G43" s="10">
        <f>F43/C43*100</f>
        <v>86.296296296296291</v>
      </c>
    </row>
    <row r="44" spans="2:7" x14ac:dyDescent="0.2">
      <c r="B44" s="13" t="s">
        <v>7</v>
      </c>
      <c r="C44" s="12">
        <f>D44+F44</f>
        <v>186</v>
      </c>
      <c r="D44" s="12">
        <v>76</v>
      </c>
      <c r="E44" s="10">
        <f>D44/C44*100</f>
        <v>40.86021505376344</v>
      </c>
      <c r="F44" s="12">
        <v>110</v>
      </c>
      <c r="G44" s="10">
        <f>F44/C44*100</f>
        <v>59.13978494623656</v>
      </c>
    </row>
    <row r="45" spans="2:7" x14ac:dyDescent="0.2">
      <c r="B45" s="13" t="s">
        <v>6</v>
      </c>
      <c r="C45" s="12">
        <f>D45+F45</f>
        <v>251</v>
      </c>
      <c r="D45" s="12">
        <v>70</v>
      </c>
      <c r="E45" s="10">
        <f>D45/C45*100</f>
        <v>27.888446215139439</v>
      </c>
      <c r="F45" s="12">
        <v>181</v>
      </c>
      <c r="G45" s="10">
        <f>F45/C45*100</f>
        <v>72.111553784860561</v>
      </c>
    </row>
    <row r="46" spans="2:7" x14ac:dyDescent="0.2">
      <c r="B46" s="13" t="s">
        <v>5</v>
      </c>
      <c r="C46" s="12">
        <f>D46+F46</f>
        <v>47</v>
      </c>
      <c r="D46" s="12">
        <v>21</v>
      </c>
      <c r="E46" s="10">
        <f>D46/C46*100</f>
        <v>44.680851063829785</v>
      </c>
      <c r="F46" s="12">
        <v>26</v>
      </c>
      <c r="G46" s="10">
        <f>F46/C46*100</f>
        <v>55.319148936170215</v>
      </c>
    </row>
    <row r="47" spans="2:7" x14ac:dyDescent="0.2">
      <c r="B47" s="13" t="s">
        <v>4</v>
      </c>
      <c r="C47" s="12">
        <f>D47+F47</f>
        <v>15</v>
      </c>
      <c r="D47" s="12">
        <v>14</v>
      </c>
      <c r="E47" s="10">
        <f>D47/C47*100</f>
        <v>93.333333333333329</v>
      </c>
      <c r="F47" s="12">
        <v>1</v>
      </c>
      <c r="G47" s="10">
        <f>F47/C47*100</f>
        <v>6.666666666666667</v>
      </c>
    </row>
    <row r="48" spans="2:7" s="2" customFormat="1" x14ac:dyDescent="0.2">
      <c r="B48" s="17" t="s">
        <v>3</v>
      </c>
      <c r="C48" s="8">
        <f>SUM(C35:C47)</f>
        <v>3902</v>
      </c>
      <c r="D48" s="8">
        <f>SUM(D35:D47)</f>
        <v>979</v>
      </c>
      <c r="E48" s="16">
        <f>D48/C48*100</f>
        <v>25.089697590978986</v>
      </c>
      <c r="F48" s="8">
        <f>SUM(F35:F47)</f>
        <v>2923</v>
      </c>
      <c r="G48" s="16">
        <f>F48/C48*100</f>
        <v>74.910302409021014</v>
      </c>
    </row>
    <row r="49" spans="2:5" x14ac:dyDescent="0.2">
      <c r="B49" s="20"/>
      <c r="C49" s="5"/>
      <c r="D49" s="5"/>
      <c r="E49" s="5"/>
    </row>
    <row r="51" spans="2:5" x14ac:dyDescent="0.2">
      <c r="B51" s="2" t="s">
        <v>27</v>
      </c>
    </row>
    <row r="52" spans="2:5" x14ac:dyDescent="0.2">
      <c r="B52" s="2" t="s">
        <v>26</v>
      </c>
    </row>
    <row r="53" spans="2:5" x14ac:dyDescent="0.2">
      <c r="B53" s="19" t="s">
        <v>20</v>
      </c>
      <c r="C53" s="19" t="s">
        <v>19</v>
      </c>
      <c r="D53" s="19" t="s">
        <v>25</v>
      </c>
      <c r="E53" s="18" t="s">
        <v>24</v>
      </c>
    </row>
    <row r="54" spans="2:5" x14ac:dyDescent="0.2">
      <c r="B54" s="13" t="s">
        <v>15</v>
      </c>
      <c r="C54" s="12">
        <v>4</v>
      </c>
      <c r="D54" s="12">
        <v>4</v>
      </c>
      <c r="E54" s="10">
        <f>D54/C54*100</f>
        <v>100</v>
      </c>
    </row>
    <row r="55" spans="2:5" x14ac:dyDescent="0.2">
      <c r="B55" s="13" t="s">
        <v>14</v>
      </c>
      <c r="C55" s="12">
        <v>2</v>
      </c>
      <c r="D55" s="12">
        <v>2</v>
      </c>
      <c r="E55" s="10">
        <f>D55/C55*100</f>
        <v>100</v>
      </c>
    </row>
    <row r="56" spans="2:5" x14ac:dyDescent="0.2">
      <c r="B56" s="13" t="s">
        <v>4</v>
      </c>
      <c r="C56" s="12">
        <v>15</v>
      </c>
      <c r="D56" s="12">
        <v>14</v>
      </c>
      <c r="E56" s="10">
        <f>D56/C56*100</f>
        <v>93.333333333333329</v>
      </c>
    </row>
    <row r="57" spans="2:5" x14ac:dyDescent="0.2">
      <c r="B57" s="13" t="s">
        <v>16</v>
      </c>
      <c r="C57" s="12">
        <v>14</v>
      </c>
      <c r="D57" s="12">
        <v>13</v>
      </c>
      <c r="E57" s="10">
        <f>D57/C57*100</f>
        <v>92.857142857142861</v>
      </c>
    </row>
    <row r="58" spans="2:5" x14ac:dyDescent="0.2">
      <c r="B58" s="13" t="s">
        <v>11</v>
      </c>
      <c r="C58" s="12">
        <v>69</v>
      </c>
      <c r="D58" s="12">
        <v>63</v>
      </c>
      <c r="E58" s="10">
        <f>D58/C58*100</f>
        <v>91.304347826086953</v>
      </c>
    </row>
    <row r="59" spans="2:5" x14ac:dyDescent="0.2">
      <c r="B59" s="13" t="s">
        <v>5</v>
      </c>
      <c r="C59" s="12">
        <v>47</v>
      </c>
      <c r="D59" s="12">
        <v>21</v>
      </c>
      <c r="E59" s="10">
        <f>D59/C59*100</f>
        <v>44.680851063829785</v>
      </c>
    </row>
    <row r="60" spans="2:5" x14ac:dyDescent="0.2">
      <c r="B60" s="13" t="s">
        <v>7</v>
      </c>
      <c r="C60" s="12">
        <v>186</v>
      </c>
      <c r="D60" s="12">
        <v>76</v>
      </c>
      <c r="E60" s="10">
        <f>D60/C60*100</f>
        <v>40.86021505376344</v>
      </c>
    </row>
    <row r="61" spans="2:5" x14ac:dyDescent="0.2">
      <c r="B61" s="13" t="s">
        <v>9</v>
      </c>
      <c r="C61" s="12">
        <v>732</v>
      </c>
      <c r="D61" s="12">
        <v>242</v>
      </c>
      <c r="E61" s="10">
        <f>D61/C61*100</f>
        <v>33.060109289617486</v>
      </c>
    </row>
    <row r="62" spans="2:5" x14ac:dyDescent="0.2">
      <c r="B62" s="13" t="s">
        <v>12</v>
      </c>
      <c r="C62" s="12">
        <v>124</v>
      </c>
      <c r="D62" s="12">
        <v>39</v>
      </c>
      <c r="E62" s="10">
        <f>D62/C62*100</f>
        <v>31.451612903225808</v>
      </c>
    </row>
    <row r="63" spans="2:5" x14ac:dyDescent="0.2">
      <c r="B63" s="13" t="s">
        <v>6</v>
      </c>
      <c r="C63" s="12">
        <v>251</v>
      </c>
      <c r="D63" s="12">
        <v>70</v>
      </c>
      <c r="E63" s="10">
        <f>D63/C63*100</f>
        <v>27.888446215139439</v>
      </c>
    </row>
    <row r="64" spans="2:5" x14ac:dyDescent="0.2">
      <c r="B64" s="13" t="s">
        <v>10</v>
      </c>
      <c r="C64" s="12">
        <v>925</v>
      </c>
      <c r="D64" s="12">
        <v>176</v>
      </c>
      <c r="E64" s="10">
        <f>D64/C64*100</f>
        <v>19.027027027027028</v>
      </c>
    </row>
    <row r="65" spans="2:5" x14ac:dyDescent="0.2">
      <c r="B65" s="13" t="s">
        <v>13</v>
      </c>
      <c r="C65" s="12">
        <v>993</v>
      </c>
      <c r="D65" s="12">
        <v>185</v>
      </c>
      <c r="E65" s="10">
        <f>D65/C65*100</f>
        <v>18.630412890231622</v>
      </c>
    </row>
    <row r="66" spans="2:5" x14ac:dyDescent="0.2">
      <c r="B66" s="13" t="s">
        <v>8</v>
      </c>
      <c r="C66" s="12">
        <v>540</v>
      </c>
      <c r="D66" s="12">
        <v>74</v>
      </c>
      <c r="E66" s="10">
        <f>D66/C66*100</f>
        <v>13.703703703703704</v>
      </c>
    </row>
    <row r="67" spans="2:5" x14ac:dyDescent="0.2">
      <c r="B67" s="17" t="s">
        <v>3</v>
      </c>
      <c r="C67" s="8">
        <v>3902</v>
      </c>
      <c r="D67" s="8">
        <v>979</v>
      </c>
      <c r="E67" s="16">
        <f>D67/C67*100</f>
        <v>25.089697590978986</v>
      </c>
    </row>
    <row r="69" spans="2:5" x14ac:dyDescent="0.2">
      <c r="B69" s="2" t="s">
        <v>23</v>
      </c>
    </row>
    <row r="70" spans="2:5" x14ac:dyDescent="0.2">
      <c r="B70" s="14" t="s">
        <v>20</v>
      </c>
      <c r="C70" s="14" t="s">
        <v>19</v>
      </c>
      <c r="D70" s="14" t="s">
        <v>22</v>
      </c>
      <c r="E70" s="15" t="s">
        <v>17</v>
      </c>
    </row>
    <row r="71" spans="2:5" x14ac:dyDescent="0.2">
      <c r="B71" s="13" t="s">
        <v>8</v>
      </c>
      <c r="C71" s="12">
        <v>540</v>
      </c>
      <c r="D71" s="12">
        <v>466</v>
      </c>
      <c r="E71" s="10">
        <f>D71/C71*100</f>
        <v>86.296296296296291</v>
      </c>
    </row>
    <row r="72" spans="2:5" x14ac:dyDescent="0.2">
      <c r="B72" s="13" t="s">
        <v>13</v>
      </c>
      <c r="C72" s="12">
        <v>993</v>
      </c>
      <c r="D72" s="12">
        <v>808</v>
      </c>
      <c r="E72" s="10">
        <f>D72/C72*100</f>
        <v>81.369587109768389</v>
      </c>
    </row>
    <row r="73" spans="2:5" x14ac:dyDescent="0.2">
      <c r="B73" s="13" t="s">
        <v>10</v>
      </c>
      <c r="C73" s="12">
        <v>925</v>
      </c>
      <c r="D73" s="12">
        <v>749</v>
      </c>
      <c r="E73" s="10">
        <f>D73/C73*100</f>
        <v>80.972972972972968</v>
      </c>
    </row>
    <row r="74" spans="2:5" x14ac:dyDescent="0.2">
      <c r="B74" s="13" t="s">
        <v>6</v>
      </c>
      <c r="C74" s="12">
        <v>251</v>
      </c>
      <c r="D74" s="12">
        <v>181</v>
      </c>
      <c r="E74" s="10">
        <f>D74/C74*100</f>
        <v>72.111553784860561</v>
      </c>
    </row>
    <row r="75" spans="2:5" x14ac:dyDescent="0.2">
      <c r="B75" s="13" t="s">
        <v>12</v>
      </c>
      <c r="C75" s="12">
        <v>124</v>
      </c>
      <c r="D75" s="12">
        <v>85</v>
      </c>
      <c r="E75" s="10">
        <f>D75/C75*100</f>
        <v>68.548387096774192</v>
      </c>
    </row>
    <row r="76" spans="2:5" x14ac:dyDescent="0.2">
      <c r="B76" s="13" t="s">
        <v>9</v>
      </c>
      <c r="C76" s="12">
        <v>732</v>
      </c>
      <c r="D76" s="12">
        <v>490</v>
      </c>
      <c r="E76" s="10">
        <f>D76/C76*100</f>
        <v>66.939890710382514</v>
      </c>
    </row>
    <row r="77" spans="2:5" x14ac:dyDescent="0.2">
      <c r="B77" s="13" t="s">
        <v>7</v>
      </c>
      <c r="C77" s="12">
        <v>186</v>
      </c>
      <c r="D77" s="12">
        <v>110</v>
      </c>
      <c r="E77" s="10">
        <f>D77/C77*100</f>
        <v>59.13978494623656</v>
      </c>
    </row>
    <row r="78" spans="2:5" x14ac:dyDescent="0.2">
      <c r="B78" s="13" t="s">
        <v>5</v>
      </c>
      <c r="C78" s="12">
        <v>47</v>
      </c>
      <c r="D78" s="12">
        <v>26</v>
      </c>
      <c r="E78" s="10">
        <f>D78/C78*100</f>
        <v>55.319148936170215</v>
      </c>
    </row>
    <row r="79" spans="2:5" x14ac:dyDescent="0.2">
      <c r="B79" s="13" t="s">
        <v>11</v>
      </c>
      <c r="C79" s="12">
        <v>69</v>
      </c>
      <c r="D79" s="12">
        <v>6</v>
      </c>
      <c r="E79" s="10">
        <f>D79/C79*100</f>
        <v>8.695652173913043</v>
      </c>
    </row>
    <row r="80" spans="2:5" x14ac:dyDescent="0.2">
      <c r="B80" s="13" t="s">
        <v>16</v>
      </c>
      <c r="C80" s="12">
        <v>14</v>
      </c>
      <c r="D80" s="12">
        <v>1</v>
      </c>
      <c r="E80" s="10">
        <f>D80/C80*100</f>
        <v>7.1428571428571423</v>
      </c>
    </row>
    <row r="81" spans="2:5" x14ac:dyDescent="0.2">
      <c r="B81" s="13" t="s">
        <v>4</v>
      </c>
      <c r="C81" s="12">
        <v>15</v>
      </c>
      <c r="D81" s="12">
        <v>1</v>
      </c>
      <c r="E81" s="10">
        <f>D81/C81*100</f>
        <v>6.666666666666667</v>
      </c>
    </row>
    <row r="82" spans="2:5" x14ac:dyDescent="0.2">
      <c r="B82" s="13" t="s">
        <v>15</v>
      </c>
      <c r="C82" s="12">
        <v>4</v>
      </c>
      <c r="D82" s="12">
        <v>0</v>
      </c>
      <c r="E82" s="10">
        <f>D82/C82*100</f>
        <v>0</v>
      </c>
    </row>
    <row r="83" spans="2:5" x14ac:dyDescent="0.2">
      <c r="B83" s="13" t="s">
        <v>14</v>
      </c>
      <c r="C83" s="12">
        <v>2</v>
      </c>
      <c r="D83" s="12">
        <v>0</v>
      </c>
      <c r="E83" s="10">
        <f>D83/C83*100</f>
        <v>0</v>
      </c>
    </row>
    <row r="84" spans="2:5" x14ac:dyDescent="0.2">
      <c r="B84" s="9" t="s">
        <v>3</v>
      </c>
      <c r="C84" s="8">
        <v>3902</v>
      </c>
      <c r="D84" s="8">
        <v>2923</v>
      </c>
      <c r="E84" s="6">
        <f>D84/C84*100</f>
        <v>74.910302409021014</v>
      </c>
    </row>
    <row r="86" spans="2:5" x14ac:dyDescent="0.2">
      <c r="B86" s="2" t="s">
        <v>21</v>
      </c>
    </row>
    <row r="87" spans="2:5" x14ac:dyDescent="0.2">
      <c r="B87" s="8" t="s">
        <v>20</v>
      </c>
      <c r="C87" s="8" t="s">
        <v>19</v>
      </c>
      <c r="D87" s="8" t="s">
        <v>18</v>
      </c>
      <c r="E87" s="14" t="s">
        <v>17</v>
      </c>
    </row>
    <row r="88" spans="2:5" x14ac:dyDescent="0.2">
      <c r="B88" s="13" t="s">
        <v>16</v>
      </c>
      <c r="C88" s="12">
        <v>14</v>
      </c>
      <c r="D88" s="11">
        <v>3</v>
      </c>
      <c r="E88" s="10">
        <f>D88/C88*100</f>
        <v>21.428571428571427</v>
      </c>
    </row>
    <row r="89" spans="2:5" x14ac:dyDescent="0.2">
      <c r="B89" s="13" t="s">
        <v>15</v>
      </c>
      <c r="C89" s="12">
        <v>4</v>
      </c>
      <c r="D89" s="11">
        <v>1</v>
      </c>
      <c r="E89" s="10">
        <f>D89/C89*100</f>
        <v>25</v>
      </c>
    </row>
    <row r="90" spans="2:5" x14ac:dyDescent="0.2">
      <c r="B90" s="13" t="s">
        <v>14</v>
      </c>
      <c r="C90" s="12">
        <v>2</v>
      </c>
      <c r="E90" s="10">
        <f>D90/C90*100</f>
        <v>0</v>
      </c>
    </row>
    <row r="91" spans="2:5" x14ac:dyDescent="0.2">
      <c r="B91" s="13" t="s">
        <v>13</v>
      </c>
      <c r="C91" s="12">
        <v>993</v>
      </c>
      <c r="D91" s="11">
        <v>41</v>
      </c>
      <c r="E91" s="10">
        <f>D91/C91*100</f>
        <v>4.1289023162134946</v>
      </c>
    </row>
    <row r="92" spans="2:5" x14ac:dyDescent="0.2">
      <c r="B92" s="13" t="s">
        <v>12</v>
      </c>
      <c r="C92" s="12">
        <v>124</v>
      </c>
      <c r="D92" s="11">
        <v>9</v>
      </c>
      <c r="E92" s="10">
        <f>D92/C92*100</f>
        <v>7.2580645161290329</v>
      </c>
    </row>
    <row r="93" spans="2:5" x14ac:dyDescent="0.2">
      <c r="B93" s="13" t="s">
        <v>11</v>
      </c>
      <c r="C93" s="12">
        <v>69</v>
      </c>
      <c r="D93" s="11">
        <v>9</v>
      </c>
      <c r="E93" s="10">
        <f>D93/C93*100</f>
        <v>13.043478260869565</v>
      </c>
    </row>
    <row r="94" spans="2:5" x14ac:dyDescent="0.2">
      <c r="B94" s="13" t="s">
        <v>10</v>
      </c>
      <c r="C94" s="12">
        <v>925</v>
      </c>
      <c r="D94" s="11">
        <v>56</v>
      </c>
      <c r="E94" s="10">
        <f>D94/C94*100</f>
        <v>6.0540540540540544</v>
      </c>
    </row>
    <row r="95" spans="2:5" x14ac:dyDescent="0.2">
      <c r="B95" s="13" t="s">
        <v>9</v>
      </c>
      <c r="C95" s="12">
        <v>732</v>
      </c>
      <c r="D95" s="11">
        <v>62</v>
      </c>
      <c r="E95" s="10">
        <f>D95/C95*100</f>
        <v>8.4699453551912569</v>
      </c>
    </row>
    <row r="96" spans="2:5" x14ac:dyDescent="0.2">
      <c r="B96" s="13" t="s">
        <v>8</v>
      </c>
      <c r="C96" s="12">
        <v>540</v>
      </c>
      <c r="D96" s="11">
        <v>35</v>
      </c>
      <c r="E96" s="10">
        <f>D96/C96*100</f>
        <v>6.481481481481481</v>
      </c>
    </row>
    <row r="97" spans="2:5" x14ac:dyDescent="0.2">
      <c r="B97" s="13" t="s">
        <v>7</v>
      </c>
      <c r="C97" s="12">
        <v>186</v>
      </c>
      <c r="D97" s="11">
        <v>25</v>
      </c>
      <c r="E97" s="10">
        <f>D97/C97*100</f>
        <v>13.440860215053762</v>
      </c>
    </row>
    <row r="98" spans="2:5" x14ac:dyDescent="0.2">
      <c r="B98" s="13" t="s">
        <v>6</v>
      </c>
      <c r="C98" s="12">
        <v>251</v>
      </c>
      <c r="D98" s="11">
        <v>21</v>
      </c>
      <c r="E98" s="10">
        <f>D98/C98*100</f>
        <v>8.3665338645418323</v>
      </c>
    </row>
    <row r="99" spans="2:5" x14ac:dyDescent="0.2">
      <c r="B99" s="13" t="s">
        <v>5</v>
      </c>
      <c r="C99" s="12">
        <v>47</v>
      </c>
      <c r="D99" s="11">
        <v>8</v>
      </c>
      <c r="E99" s="10">
        <f>D99/C99*100</f>
        <v>17.021276595744681</v>
      </c>
    </row>
    <row r="100" spans="2:5" x14ac:dyDescent="0.2">
      <c r="B100" s="13" t="s">
        <v>4</v>
      </c>
      <c r="C100" s="12">
        <v>15</v>
      </c>
      <c r="D100" s="11">
        <v>0</v>
      </c>
      <c r="E100" s="10">
        <f>D100/C100*100</f>
        <v>0</v>
      </c>
    </row>
    <row r="101" spans="2:5" x14ac:dyDescent="0.2">
      <c r="B101" s="9" t="s">
        <v>3</v>
      </c>
      <c r="C101" s="8">
        <v>3902</v>
      </c>
      <c r="D101" s="7">
        <f>SUM(D88:D100)</f>
        <v>270</v>
      </c>
      <c r="E101" s="6">
        <f>D101/C101*100</f>
        <v>6.9195284469502818</v>
      </c>
    </row>
    <row r="102" spans="2:5" x14ac:dyDescent="0.2">
      <c r="C102" s="5"/>
      <c r="D102" s="4"/>
      <c r="E102" s="3"/>
    </row>
    <row r="103" spans="2:5" x14ac:dyDescent="0.2">
      <c r="B103" s="2" t="s">
        <v>2</v>
      </c>
    </row>
    <row r="126" spans="2:2" x14ac:dyDescent="0.2">
      <c r="B126" s="2" t="s">
        <v>1</v>
      </c>
    </row>
    <row r="127" spans="2:2" x14ac:dyDescent="0.2">
      <c r="B127" s="2" t="s">
        <v>0</v>
      </c>
    </row>
  </sheetData>
  <autoFilter ref="B70:K70" xr:uid="{FAEE6783-CC48-4BED-96E5-9AD367F11C2D}">
    <sortState xmlns:xlrd2="http://schemas.microsoft.com/office/spreadsheetml/2017/richdata2" ref="B71:K83">
      <sortCondition descending="1" ref="E70"/>
    </sortState>
  </autoFilter>
  <mergeCells count="4">
    <mergeCell ref="B24:D24"/>
    <mergeCell ref="B27:B28"/>
    <mergeCell ref="C33:E33"/>
    <mergeCell ref="B25:D25"/>
  </mergeCells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สรุปข้อมูลภาพรวม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jedsada tawade</dc:creator>
  <cp:lastModifiedBy>jedsada tawade</cp:lastModifiedBy>
  <dcterms:created xsi:type="dcterms:W3CDTF">2025-12-24T04:52:16Z</dcterms:created>
  <dcterms:modified xsi:type="dcterms:W3CDTF">2025-12-24T04:52:52Z</dcterms:modified>
</cp:coreProperties>
</file>